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D-3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E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B17" i="1"/>
  <c r="A17" i="1"/>
</calcChain>
</file>

<file path=xl/sharedStrings.xml><?xml version="1.0" encoding="utf-8"?>
<sst xmlns="http://schemas.openxmlformats.org/spreadsheetml/2006/main" count="10" uniqueCount="10">
  <si>
    <t>Y(External Marks)</t>
  </si>
  <si>
    <t>X(Internal Marks)</t>
  </si>
  <si>
    <t>X-X(MEAN)</t>
  </si>
  <si>
    <t>Y-Y(MEAN)</t>
  </si>
  <si>
    <t>(X-X(MEAN)*Y-Y(MEAN))</t>
  </si>
  <si>
    <t>X-X(MEAN)*X-X(MEAN)</t>
  </si>
  <si>
    <t>C=</t>
  </si>
  <si>
    <t>m=</t>
  </si>
  <si>
    <t>Y=1.89x+19.04</t>
  </si>
  <si>
    <t>Predict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</si>
</sst>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9" sqref="G9"/>
    </sheetView>
  </sheetViews>
  <sheetFormatPr defaultRowHeight="15" x14ac:dyDescent="0.25"/>
  <cols>
    <col min="1" max="1" width="17" customWidth="1"/>
    <col min="2" max="2" width="17.85546875" customWidth="1"/>
    <col min="3" max="3" width="15.28515625" customWidth="1"/>
    <col min="4" max="4" width="16.85546875" customWidth="1"/>
    <col min="5" max="5" width="23.85546875" customWidth="1"/>
    <col min="6" max="6" width="23.5703125" customWidth="1"/>
    <col min="7" max="7" width="19.425781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1">
        <v>15</v>
      </c>
      <c r="B2" s="1">
        <v>49</v>
      </c>
      <c r="C2" s="1">
        <f>A2-19.93333333</f>
        <v>-4.93333333</v>
      </c>
      <c r="D2" s="1">
        <f>B2-56.3</f>
        <v>-7.2999999999999972</v>
      </c>
      <c r="E2" s="1">
        <f>C2*D2</f>
        <v>36.013333308999982</v>
      </c>
      <c r="F2" s="1">
        <f>C2*C2</f>
        <v>24.337777744888889</v>
      </c>
      <c r="G2" s="1"/>
    </row>
    <row r="3" spans="1:7" x14ac:dyDescent="0.25">
      <c r="A3" s="1">
        <v>23</v>
      </c>
      <c r="B3" s="1">
        <v>63</v>
      </c>
      <c r="C3" s="1">
        <f t="shared" ref="C3:C16" si="0">A3-19.93333333</f>
        <v>3.06666667</v>
      </c>
      <c r="D3" s="1">
        <f t="shared" ref="D3:D16" si="1">B3-56.3</f>
        <v>6.7000000000000028</v>
      </c>
      <c r="E3" s="1">
        <f t="shared" ref="E3:E16" si="2">C3*D3</f>
        <v>20.546666689000009</v>
      </c>
      <c r="F3" s="1">
        <f t="shared" ref="F3:F16" si="3">C3*C3</f>
        <v>9.4044444648888899</v>
      </c>
      <c r="G3" s="1"/>
    </row>
    <row r="4" spans="1:7" x14ac:dyDescent="0.25">
      <c r="A4" s="1">
        <v>18</v>
      </c>
      <c r="B4" s="1">
        <v>58</v>
      </c>
      <c r="C4" s="1">
        <f t="shared" si="0"/>
        <v>-1.93333333</v>
      </c>
      <c r="D4" s="1">
        <f t="shared" si="1"/>
        <v>1.7000000000000028</v>
      </c>
      <c r="E4" s="1">
        <f t="shared" si="2"/>
        <v>-3.2866666610000053</v>
      </c>
      <c r="F4" s="1">
        <f t="shared" si="3"/>
        <v>3.7377777648888886</v>
      </c>
      <c r="G4" s="1"/>
    </row>
    <row r="5" spans="1:7" x14ac:dyDescent="0.25">
      <c r="A5" s="1">
        <v>23</v>
      </c>
      <c r="B5" s="1">
        <v>60</v>
      </c>
      <c r="C5" s="1">
        <f t="shared" si="0"/>
        <v>3.06666667</v>
      </c>
      <c r="D5" s="1">
        <f t="shared" si="1"/>
        <v>3.7000000000000028</v>
      </c>
      <c r="E5" s="1">
        <f t="shared" si="2"/>
        <v>11.346666679000009</v>
      </c>
      <c r="F5" s="1">
        <f t="shared" si="3"/>
        <v>9.4044444648888899</v>
      </c>
      <c r="G5" s="1"/>
    </row>
    <row r="6" spans="1:7" x14ac:dyDescent="0.25">
      <c r="A6" s="1">
        <v>24</v>
      </c>
      <c r="B6" s="1">
        <v>58</v>
      </c>
      <c r="C6" s="1">
        <f t="shared" si="0"/>
        <v>4.06666667</v>
      </c>
      <c r="D6" s="1">
        <f t="shared" si="1"/>
        <v>1.7000000000000028</v>
      </c>
      <c r="E6" s="1">
        <f t="shared" si="2"/>
        <v>6.9133333390000118</v>
      </c>
      <c r="F6" s="1">
        <f t="shared" si="3"/>
        <v>16.53777780488889</v>
      </c>
      <c r="G6" s="1"/>
    </row>
    <row r="7" spans="1:7" x14ac:dyDescent="0.25">
      <c r="A7" s="1">
        <v>22</v>
      </c>
      <c r="B7" s="1">
        <v>61</v>
      </c>
      <c r="C7" s="1">
        <f t="shared" si="0"/>
        <v>2.06666667</v>
      </c>
      <c r="D7" s="1">
        <f t="shared" si="1"/>
        <v>4.7000000000000028</v>
      </c>
      <c r="E7" s="1">
        <f t="shared" si="2"/>
        <v>9.7133333490000062</v>
      </c>
      <c r="F7" s="1">
        <f t="shared" si="3"/>
        <v>4.2711111248888889</v>
      </c>
      <c r="G7" s="1"/>
    </row>
    <row r="8" spans="1:7" x14ac:dyDescent="0.25">
      <c r="A8" s="1">
        <v>22</v>
      </c>
      <c r="B8" s="1">
        <v>60</v>
      </c>
      <c r="C8" s="1">
        <f t="shared" si="0"/>
        <v>2.06666667</v>
      </c>
      <c r="D8" s="1">
        <f t="shared" si="1"/>
        <v>3.7000000000000028</v>
      </c>
      <c r="E8" s="1">
        <f t="shared" si="2"/>
        <v>7.6466666790000062</v>
      </c>
      <c r="F8" s="1">
        <f t="shared" si="3"/>
        <v>4.2711111248888889</v>
      </c>
      <c r="G8" s="1"/>
    </row>
    <row r="9" spans="1:7" x14ac:dyDescent="0.25">
      <c r="A9" s="1">
        <v>19</v>
      </c>
      <c r="B9" s="1">
        <v>63</v>
      </c>
      <c r="C9" s="1">
        <f t="shared" si="0"/>
        <v>-0.93333332999999996</v>
      </c>
      <c r="D9" s="1">
        <f t="shared" si="1"/>
        <v>6.7000000000000028</v>
      </c>
      <c r="E9" s="1">
        <f t="shared" si="2"/>
        <v>-6.2533333110000022</v>
      </c>
      <c r="F9" s="1">
        <f t="shared" si="3"/>
        <v>0.87111110488888888</v>
      </c>
      <c r="G9" s="1"/>
    </row>
    <row r="10" spans="1:7" x14ac:dyDescent="0.25">
      <c r="A10" s="1">
        <v>19</v>
      </c>
      <c r="B10" s="1">
        <v>60</v>
      </c>
      <c r="C10" s="1">
        <f t="shared" si="0"/>
        <v>-0.93333332999999996</v>
      </c>
      <c r="D10" s="1">
        <f t="shared" si="1"/>
        <v>3.7000000000000028</v>
      </c>
      <c r="E10" s="1">
        <f t="shared" si="2"/>
        <v>-3.4533333210000023</v>
      </c>
      <c r="F10" s="1">
        <f t="shared" si="3"/>
        <v>0.87111110488888888</v>
      </c>
      <c r="G10" s="1"/>
    </row>
    <row r="11" spans="1:7" x14ac:dyDescent="0.25">
      <c r="A11" s="1">
        <v>16</v>
      </c>
      <c r="B11" s="1">
        <v>52</v>
      </c>
      <c r="C11" s="1">
        <f t="shared" si="0"/>
        <v>-3.93333333</v>
      </c>
      <c r="D11" s="1">
        <f t="shared" si="1"/>
        <v>-4.2999999999999972</v>
      </c>
      <c r="E11" s="1">
        <f t="shared" si="2"/>
        <v>16.913333318999989</v>
      </c>
      <c r="F11" s="1">
        <f t="shared" si="3"/>
        <v>15.471111084888889</v>
      </c>
      <c r="G11" s="1"/>
    </row>
    <row r="12" spans="1:7" x14ac:dyDescent="0.25">
      <c r="A12" s="1">
        <v>24</v>
      </c>
      <c r="B12" s="1">
        <v>62</v>
      </c>
      <c r="C12" s="1">
        <f t="shared" si="0"/>
        <v>4.06666667</v>
      </c>
      <c r="D12" s="1">
        <f t="shared" si="1"/>
        <v>5.7000000000000028</v>
      </c>
      <c r="E12" s="1">
        <f t="shared" si="2"/>
        <v>23.180000019000012</v>
      </c>
      <c r="F12" s="1">
        <f t="shared" si="3"/>
        <v>16.53777780488889</v>
      </c>
      <c r="G12" s="1"/>
    </row>
    <row r="13" spans="1:7" x14ac:dyDescent="0.25">
      <c r="A13" s="1">
        <v>11</v>
      </c>
      <c r="B13" s="1">
        <v>30</v>
      </c>
      <c r="C13" s="1">
        <f t="shared" si="0"/>
        <v>-8.93333333</v>
      </c>
      <c r="D13" s="1">
        <f t="shared" si="1"/>
        <v>-26.299999999999997</v>
      </c>
      <c r="E13" s="1">
        <f t="shared" si="2"/>
        <v>234.94666657899998</v>
      </c>
      <c r="F13" s="1">
        <f t="shared" si="3"/>
        <v>79.804444384888882</v>
      </c>
      <c r="G13" s="1"/>
    </row>
    <row r="14" spans="1:7" x14ac:dyDescent="0.25">
      <c r="A14" s="1">
        <v>24</v>
      </c>
      <c r="B14" s="1">
        <v>59</v>
      </c>
      <c r="C14" s="1">
        <f t="shared" si="0"/>
        <v>4.06666667</v>
      </c>
      <c r="D14" s="1">
        <f t="shared" si="1"/>
        <v>2.7000000000000028</v>
      </c>
      <c r="E14" s="1">
        <f t="shared" si="2"/>
        <v>10.980000009000012</v>
      </c>
      <c r="F14" s="1">
        <f t="shared" si="3"/>
        <v>16.53777780488889</v>
      </c>
      <c r="G14" s="1"/>
    </row>
    <row r="15" spans="1:7" x14ac:dyDescent="0.25">
      <c r="A15" s="1">
        <v>16</v>
      </c>
      <c r="B15" s="1">
        <v>49</v>
      </c>
      <c r="C15" s="1">
        <f t="shared" si="0"/>
        <v>-3.93333333</v>
      </c>
      <c r="D15" s="1">
        <f t="shared" si="1"/>
        <v>-7.2999999999999972</v>
      </c>
      <c r="E15" s="1">
        <f t="shared" si="2"/>
        <v>28.713333308999989</v>
      </c>
      <c r="F15" s="1">
        <f t="shared" si="3"/>
        <v>15.471111084888889</v>
      </c>
      <c r="G15" s="1"/>
    </row>
    <row r="16" spans="1:7" x14ac:dyDescent="0.25">
      <c r="A16" s="1">
        <v>23</v>
      </c>
      <c r="B16" s="1">
        <v>68</v>
      </c>
      <c r="C16" s="1">
        <f t="shared" si="0"/>
        <v>3.06666667</v>
      </c>
      <c r="D16" s="1">
        <f t="shared" si="1"/>
        <v>11.700000000000003</v>
      </c>
      <c r="E16" s="1">
        <f t="shared" si="2"/>
        <v>35.880000039000009</v>
      </c>
      <c r="F16" s="1">
        <f t="shared" si="3"/>
        <v>9.4044444648888899</v>
      </c>
      <c r="G16" s="1"/>
    </row>
    <row r="17" spans="1:7" x14ac:dyDescent="0.25">
      <c r="A17" s="1">
        <f>AVERAGE(A2:A16)</f>
        <v>19.933333333333334</v>
      </c>
      <c r="B17" s="1">
        <f>AVERAGE(B2:B16)</f>
        <v>56.8</v>
      </c>
      <c r="C17" s="1"/>
      <c r="D17" s="1"/>
      <c r="E17" s="1">
        <f>SUM(E2:E16)</f>
        <v>429.80000002500003</v>
      </c>
      <c r="F17" s="1">
        <f>SUM(F2:F16)</f>
        <v>226.93333333333331</v>
      </c>
      <c r="G17" s="1"/>
    </row>
    <row r="18" spans="1:7" x14ac:dyDescent="0.25">
      <c r="A18" s="1"/>
      <c r="B18" s="1"/>
      <c r="C18" s="1"/>
      <c r="D18" s="1"/>
      <c r="E18" s="1" t="s">
        <v>7</v>
      </c>
      <c r="F18" s="1">
        <f>E17/F17</f>
        <v>1.8939482962323739</v>
      </c>
      <c r="G18" s="1"/>
    </row>
    <row r="19" spans="1:7" x14ac:dyDescent="0.25">
      <c r="A19" s="1"/>
      <c r="B19" s="1"/>
      <c r="C19" s="1"/>
      <c r="D19" s="1"/>
      <c r="E19" s="1" t="s">
        <v>6</v>
      </c>
      <c r="F19" s="1">
        <f>B17-(F18*A17)</f>
        <v>19.047297295101345</v>
      </c>
      <c r="G19" s="1"/>
    </row>
    <row r="20" spans="1:7" x14ac:dyDescent="0.25">
      <c r="A20" s="1"/>
      <c r="B20" s="1"/>
      <c r="C20" s="1"/>
      <c r="D20" s="1" t="s">
        <v>9</v>
      </c>
      <c r="E20" s="1" t="s">
        <v>8</v>
      </c>
      <c r="F20" s="1">
        <f>1.89*18.5+19.04</f>
        <v>54.004999999999995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2026-04-10T03:42:23Z</dcterms:created>
  <dcterms:modified xsi:type="dcterms:W3CDTF">2026-04-10T04:11:54Z</dcterms:modified>
</cp:coreProperties>
</file>